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210" windowWidth="11835" windowHeight="7740"/>
  </bookViews>
  <sheets>
    <sheet name="Almighty" sheetId="1" r:id="rId1"/>
  </sheets>
  <functionGroups builtInGroupCount="17"/>
  <calcPr calcId="145621"/>
</workbook>
</file>

<file path=xl/calcChain.xml><?xml version="1.0" encoding="utf-8"?>
<calcChain xmlns="http://schemas.openxmlformats.org/spreadsheetml/2006/main">
  <c r="E22" i="1" l="1"/>
  <c r="D22" i="1"/>
  <c r="E1" i="1" l="1"/>
  <c r="A2" i="1" l="1"/>
  <c r="A8" i="1"/>
  <c r="D7" i="1" l="1"/>
  <c r="D6" i="1"/>
  <c r="D3" i="1"/>
  <c r="C4" i="1" l="1"/>
  <c r="D4" i="1" s="1"/>
  <c r="C5" i="1" l="1"/>
  <c r="D5" i="1" s="1"/>
  <c r="B8" i="1" l="1"/>
</calcChain>
</file>

<file path=xl/sharedStrings.xml><?xml version="1.0" encoding="utf-8"?>
<sst xmlns="http://schemas.openxmlformats.org/spreadsheetml/2006/main" count="29" uniqueCount="26">
  <si>
    <t>6.fundflow</t>
  </si>
  <si>
    <t>5盤後資料</t>
    <phoneticPr fontId="3" type="noConversion"/>
  </si>
  <si>
    <t>7.券商分點進出</t>
  </si>
  <si>
    <r>
      <t>M</t>
    </r>
    <r>
      <rPr>
        <sz val="10"/>
        <color theme="1"/>
        <rFont val="Arial Unicode MS"/>
        <family val="2"/>
        <charset val="136"/>
      </rPr>
      <t>onday</t>
    </r>
    <phoneticPr fontId="3" type="noConversion"/>
  </si>
  <si>
    <r>
      <t>T</t>
    </r>
    <r>
      <rPr>
        <sz val="10"/>
        <color theme="1"/>
        <rFont val="Arial Unicode MS"/>
        <family val="2"/>
        <charset val="136"/>
      </rPr>
      <t>uesday</t>
    </r>
    <phoneticPr fontId="3" type="noConversion"/>
  </si>
  <si>
    <r>
      <t>W</t>
    </r>
    <r>
      <rPr>
        <sz val="10"/>
        <color theme="1"/>
        <rFont val="Arial Unicode MS"/>
        <family val="2"/>
        <charset val="136"/>
      </rPr>
      <t>ednesday</t>
    </r>
    <phoneticPr fontId="3" type="noConversion"/>
  </si>
  <si>
    <r>
      <t>T</t>
    </r>
    <r>
      <rPr>
        <sz val="10"/>
        <color theme="1"/>
        <rFont val="Arial Unicode MS"/>
        <family val="2"/>
        <charset val="136"/>
      </rPr>
      <t>hursday</t>
    </r>
    <phoneticPr fontId="3" type="noConversion"/>
  </si>
  <si>
    <r>
      <t>F</t>
    </r>
    <r>
      <rPr>
        <sz val="10"/>
        <color theme="1"/>
        <rFont val="Arial Unicode MS"/>
        <family val="2"/>
        <charset val="136"/>
      </rPr>
      <t>riday</t>
    </r>
    <phoneticPr fontId="3" type="noConversion"/>
  </si>
  <si>
    <r>
      <t>S</t>
    </r>
    <r>
      <rPr>
        <sz val="10"/>
        <color theme="1"/>
        <rFont val="Arial Unicode MS"/>
        <family val="2"/>
        <charset val="136"/>
      </rPr>
      <t>aturday</t>
    </r>
    <phoneticPr fontId="3" type="noConversion"/>
  </si>
  <si>
    <r>
      <t>S</t>
    </r>
    <r>
      <rPr>
        <sz val="10"/>
        <color theme="1"/>
        <rFont val="Arial Unicode MS"/>
        <family val="2"/>
        <charset val="136"/>
      </rPr>
      <t>unday</t>
    </r>
    <phoneticPr fontId="3" type="noConversion"/>
  </si>
  <si>
    <r>
      <t>D</t>
    </r>
    <r>
      <rPr>
        <sz val="10"/>
        <color theme="1"/>
        <rFont val="Arial Unicode MS"/>
        <family val="2"/>
        <charset val="136"/>
      </rPr>
      <t>irectory</t>
    </r>
    <phoneticPr fontId="3" type="noConversion"/>
  </si>
  <si>
    <t>3.4 三大法人進出個股張數、金額</t>
  </si>
  <si>
    <t>券商分點</t>
  </si>
  <si>
    <t>券商分點進出個股明細</t>
  </si>
  <si>
    <t>Folder</t>
    <phoneticPr fontId="3" type="noConversion"/>
  </si>
  <si>
    <t>File Name</t>
    <phoneticPr fontId="3" type="noConversion"/>
  </si>
  <si>
    <t>Full Directory</t>
    <phoneticPr fontId="3" type="noConversion"/>
  </si>
  <si>
    <t>大台結算日</t>
    <phoneticPr fontId="3" type="noConversion"/>
  </si>
  <si>
    <t>摩台結算日</t>
    <phoneticPr fontId="3" type="noConversion"/>
  </si>
  <si>
    <t>C:\Users\009379\Desktop\Sales Trading Files</t>
    <phoneticPr fontId="3" type="noConversion"/>
  </si>
  <si>
    <r>
      <t>O</t>
    </r>
    <r>
      <rPr>
        <sz val="10"/>
        <color theme="1"/>
        <rFont val="Arial Unicode MS"/>
        <family val="2"/>
        <charset val="136"/>
      </rPr>
      <t>K/NOT OK?</t>
    </r>
    <phoneticPr fontId="3" type="noConversion"/>
  </si>
  <si>
    <t>.</t>
    <phoneticPr fontId="3" type="noConversion"/>
  </si>
  <si>
    <t>每月最後交易日</t>
    <phoneticPr fontId="3" type="noConversion"/>
  </si>
  <si>
    <t>OK</t>
    <phoneticPr fontId="3" type="noConversion"/>
  </si>
  <si>
    <t>OK</t>
    <phoneticPr fontId="3" type="noConversion"/>
  </si>
  <si>
    <t>OK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</si>
</sst>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yyyy/mm/dd"/>
  </numFmts>
  <fonts count="6" x14ac:knownFonts="1">
    <font>
      <sz val="12"/>
      <color theme="1"/>
      <name val="新細明體"/>
      <family val="2"/>
      <charset val="136"/>
      <scheme val="minor"/>
    </font>
    <font>
      <sz val="10"/>
      <color theme="1"/>
      <name val="Arial Unicode MS"/>
      <family val="2"/>
      <charset val="136"/>
    </font>
    <font>
      <sz val="10"/>
      <color theme="1"/>
      <name val="Arial Unicode MS"/>
      <family val="2"/>
      <charset val="136"/>
    </font>
    <font>
      <sz val="9"/>
      <name val="新細明體"/>
      <family val="2"/>
      <charset val="136"/>
      <scheme val="minor"/>
    </font>
    <font>
      <sz val="10"/>
      <color theme="1"/>
      <name val="Arial Unicode MS"/>
      <family val="2"/>
      <charset val="136"/>
    </font>
    <font>
      <sz val="10"/>
      <color theme="0"/>
      <name val="Arial Unicode MS"/>
      <family val="2"/>
      <charset val="136"/>
    </font>
  </fonts>
  <fills count="6">
    <fill>
      <patternFill patternType="none"/>
    </fill>
    <fill>
      <patternFill patternType="gray125"/>
    </fill>
    <fill>
      <patternFill patternType="solid">
        <fgColor theme="5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4" fillId="0" borderId="0" xfId="0" applyFont="1">
      <alignment vertical="center"/>
    </xf>
    <xf numFmtId="0" fontId="2" fillId="0" borderId="0" xfId="0" applyFont="1" applyFill="1">
      <alignment vertical="center"/>
    </xf>
    <xf numFmtId="0" fontId="4" fillId="0" borderId="0" xfId="0" applyFont="1" applyFill="1">
      <alignment vertical="center"/>
    </xf>
    <xf numFmtId="0" fontId="2" fillId="0" borderId="0" xfId="0" applyFont="1">
      <alignment vertical="center"/>
    </xf>
    <xf numFmtId="0" fontId="5" fillId="2" borderId="0" xfId="0" applyFont="1" applyFill="1">
      <alignment vertical="center"/>
    </xf>
    <xf numFmtId="0" fontId="2" fillId="3" borderId="0" xfId="0" applyFont="1" applyFill="1">
      <alignment vertical="center"/>
    </xf>
    <xf numFmtId="0" fontId="2" fillId="4" borderId="0" xfId="0" applyFont="1" applyFill="1">
      <alignment vertical="center"/>
    </xf>
    <xf numFmtId="0" fontId="2" fillId="5" borderId="0" xfId="0" applyFont="1" applyFill="1">
      <alignment vertical="center"/>
    </xf>
    <xf numFmtId="21" fontId="4" fillId="0" borderId="0" xfId="0" applyNumberFormat="1" applyFont="1" applyFill="1">
      <alignment vertical="center"/>
    </xf>
    <xf numFmtId="176" fontId="4" fillId="0" borderId="0" xfId="0" applyNumberFormat="1" applyFont="1">
      <alignment vertical="center"/>
    </xf>
    <xf numFmtId="176" fontId="4" fillId="0" borderId="0" xfId="0" applyNumberFormat="1" applyFont="1" applyFill="1">
      <alignment vertical="center"/>
    </xf>
    <xf numFmtId="0" fontId="1" fillId="0" borderId="0" xfId="0" applyFont="1" applyFill="1">
      <alignment vertical="center"/>
    </xf>
    <xf numFmtId="0" fontId="1" fillId="0" borderId="0" xfId="0" applyFont="1">
      <alignment vertical="center"/>
    </xf>
    <xf numFmtId="176" fontId="1" fillId="0" borderId="0" xfId="0" applyNumberFormat="1" applyFont="1" applyFill="1">
      <alignment vertical="center"/>
    </xf>
    <xf numFmtId="0" fontId="4" fillId="0" borderId="0" xfId="0" applyNumberFormat="1" applyFont="1" applyFill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22"/>
  <sheetViews>
    <sheetView tabSelected="1" workbookViewId="0">
      <selection activeCell="E4" sqref="E4"/>
    </sheetView>
  </sheetViews>
  <sheetFormatPr defaultRowHeight="15" x14ac:dyDescent="0.25"/>
  <cols>
    <col min="1" max="1" width="8.625" style="1" bestFit="1" customWidth="1"/>
    <col min="2" max="2" width="18.375" style="1" bestFit="1" customWidth="1"/>
    <col min="3" max="3" width="32.375" style="1" bestFit="1" customWidth="1"/>
    <col min="4" max="4" width="30.375" style="1" customWidth="1"/>
    <col min="5" max="5" width="9.5" style="1" bestFit="1" customWidth="1"/>
    <col min="6" max="16384" width="9" style="1"/>
  </cols>
  <sheetData>
    <row r="1" spans="1:5" x14ac:dyDescent="0.25">
      <c r="A1" s="2" t="s">
        <v>10</v>
      </c>
      <c r="B1" s="5" t="s">
        <v>19</v>
      </c>
      <c r="C1" s="3"/>
      <c r="D1" s="3"/>
      <c r="E1" s="1">
        <f>COUNTIF(E3:E7,"OK")</f>
        <v>4</v>
      </c>
    </row>
    <row r="2" spans="1:5" x14ac:dyDescent="0.25">
      <c r="A2" s="2" t="str">
        <f ca="1">CONCATENATE(YEAR(TODAY()),TEXT(MONTH(TODAY()),"00"),TEXT(DAY(TODAY()),"00"))</f>
        <v>20170606</v>
      </c>
      <c r="B2" s="8" t="s">
        <v>14</v>
      </c>
      <c r="C2" s="7" t="s">
        <v>15</v>
      </c>
      <c r="D2" s="6" t="s">
        <v>16</v>
      </c>
      <c r="E2" s="4" t="s">
        <v>20</v>
      </c>
    </row>
    <row r="3" spans="1:5" x14ac:dyDescent="0.25">
      <c r="A3" s="9">
        <v>0.6875</v>
      </c>
      <c r="B3" s="3" t="s">
        <v>0</v>
      </c>
      <c r="C3" s="3" t="s">
        <v>11</v>
      </c>
      <c r="D3" s="3" t="str">
        <f>CONCATENATE($B$1,"\",B3,"\",C3,".xls")</f>
        <v>C:\Users\009379\Desktop\Sales Trading Files\6.fundflow\3.4 三大法人進出個股張數、金額.xls</v>
      </c>
      <c r="E3" s="13" t="s">
        <v>25</v>
      </c>
    </row>
    <row r="4" spans="1:5" x14ac:dyDescent="0.25">
      <c r="A4" s="9">
        <v>0.69791666666666663</v>
      </c>
      <c r="B4" s="3" t="s">
        <v>1</v>
      </c>
      <c r="C4" s="3" t="str">
        <f ca="1">CONCATENATE("Brokers_",$A$2)</f>
        <v>Brokers_20170606</v>
      </c>
      <c r="D4" s="3" t="str">
        <f t="shared" ref="D4:D7" ca="1" si="0">CONCATENATE($B$1,"\",B4,"\",C4,".xls")</f>
        <v>C:\Users\009379\Desktop\Sales Trading Files\5盤後資料\Brokers_20170606.xls</v>
      </c>
      <c r="E4" s="13" t="s">
        <v>23</v>
      </c>
    </row>
    <row r="5" spans="1:5" x14ac:dyDescent="0.25">
      <c r="A5" s="9"/>
      <c r="B5" s="3" t="s">
        <v>1</v>
      </c>
      <c r="C5" s="3" t="str">
        <f ca="1">CONCATENATE(A2,"_Basket Activities by Brokers")</f>
        <v>20170606_Basket Activities by Brokers</v>
      </c>
      <c r="D5" s="3" t="str">
        <f t="shared" ca="1" si="0"/>
        <v>C:\Users\009379\Desktop\Sales Trading Files\5盤後資料\20170606_Basket Activities by Brokers.xls</v>
      </c>
      <c r="E5" s="4" t="s">
        <v>21</v>
      </c>
    </row>
    <row r="6" spans="1:5" x14ac:dyDescent="0.25">
      <c r="A6" s="9">
        <v>0.70833333333333337</v>
      </c>
      <c r="B6" s="3" t="s">
        <v>2</v>
      </c>
      <c r="C6" s="3" t="s">
        <v>12</v>
      </c>
      <c r="D6" s="3" t="str">
        <f t="shared" si="0"/>
        <v>C:\Users\009379\Desktop\Sales Trading Files\7.券商分點進出\券商分點.xls</v>
      </c>
      <c r="E6" s="13" t="s">
        <v>24</v>
      </c>
    </row>
    <row r="7" spans="1:5" x14ac:dyDescent="0.25">
      <c r="A7" s="9"/>
      <c r="B7" s="3" t="s">
        <v>2</v>
      </c>
      <c r="C7" s="3" t="s">
        <v>13</v>
      </c>
      <c r="D7" s="3" t="str">
        <f t="shared" si="0"/>
        <v>C:\Users\009379\Desktop\Sales Trading Files\7.券商分點進出\券商分點進出個股明細.xls</v>
      </c>
      <c r="E7" s="13" t="s">
        <v>25</v>
      </c>
    </row>
    <row r="8" spans="1:5" x14ac:dyDescent="0.25">
      <c r="A8" s="11">
        <f ca="1">TODAY()</f>
        <v>42892</v>
      </c>
      <c r="B8" s="3" t="str">
        <f ca="1">VLOOKUP(WEEKDAY(A8,2),$A$9:$B$15,2,0)</f>
        <v>Tuesday</v>
      </c>
      <c r="C8" s="3"/>
      <c r="D8" s="3"/>
    </row>
    <row r="9" spans="1:5" x14ac:dyDescent="0.25">
      <c r="A9" s="3">
        <v>1</v>
      </c>
      <c r="B9" s="2" t="s">
        <v>3</v>
      </c>
      <c r="C9" s="12" t="s">
        <v>22</v>
      </c>
      <c r="D9" s="2" t="s">
        <v>17</v>
      </c>
      <c r="E9" s="4" t="s">
        <v>18</v>
      </c>
    </row>
    <row r="10" spans="1:5" x14ac:dyDescent="0.25">
      <c r="A10" s="3">
        <v>2</v>
      </c>
      <c r="B10" s="2" t="s">
        <v>4</v>
      </c>
      <c r="C10" s="10">
        <v>42761</v>
      </c>
      <c r="D10" s="11">
        <v>42753</v>
      </c>
      <c r="E10" s="11">
        <v>42758</v>
      </c>
    </row>
    <row r="11" spans="1:5" x14ac:dyDescent="0.25">
      <c r="A11" s="3">
        <v>3</v>
      </c>
      <c r="B11" s="2" t="s">
        <v>5</v>
      </c>
      <c r="C11" s="10">
        <v>42790</v>
      </c>
      <c r="D11" s="10">
        <v>42781</v>
      </c>
      <c r="E11" s="10">
        <v>42789</v>
      </c>
    </row>
    <row r="12" spans="1:5" x14ac:dyDescent="0.25">
      <c r="A12" s="3">
        <v>4</v>
      </c>
      <c r="B12" s="2" t="s">
        <v>6</v>
      </c>
      <c r="C12" s="11">
        <v>42825</v>
      </c>
      <c r="D12" s="10">
        <v>42809</v>
      </c>
      <c r="E12" s="10">
        <v>42824</v>
      </c>
    </row>
    <row r="13" spans="1:5" x14ac:dyDescent="0.25">
      <c r="A13" s="3">
        <v>5</v>
      </c>
      <c r="B13" s="2" t="s">
        <v>7</v>
      </c>
      <c r="C13" s="11">
        <v>42853</v>
      </c>
      <c r="D13" s="11">
        <v>42844</v>
      </c>
      <c r="E13" s="11">
        <v>42852</v>
      </c>
    </row>
    <row r="14" spans="1:5" x14ac:dyDescent="0.25">
      <c r="A14" s="3">
        <v>6</v>
      </c>
      <c r="B14" s="2" t="s">
        <v>8</v>
      </c>
      <c r="C14" s="11">
        <v>42886</v>
      </c>
      <c r="D14" s="11">
        <v>42872</v>
      </c>
      <c r="E14" s="11">
        <v>42881</v>
      </c>
    </row>
    <row r="15" spans="1:5" x14ac:dyDescent="0.25">
      <c r="A15" s="3">
        <v>7</v>
      </c>
      <c r="B15" s="2" t="s">
        <v>9</v>
      </c>
      <c r="C15" s="14">
        <v>42916</v>
      </c>
      <c r="D15" s="11">
        <v>42907</v>
      </c>
      <c r="E15" s="11">
        <v>42915</v>
      </c>
    </row>
    <row r="16" spans="1:5" x14ac:dyDescent="0.25">
      <c r="A16" s="3"/>
      <c r="B16" s="3"/>
      <c r="C16" s="11">
        <v>42947</v>
      </c>
      <c r="D16" s="11">
        <v>42935</v>
      </c>
      <c r="E16" s="11">
        <v>42944</v>
      </c>
    </row>
    <row r="17" spans="3:5" x14ac:dyDescent="0.25">
      <c r="C17" s="11">
        <v>42978</v>
      </c>
      <c r="D17" s="11">
        <v>42963</v>
      </c>
      <c r="E17" s="11">
        <v>42977</v>
      </c>
    </row>
    <row r="18" spans="3:5" x14ac:dyDescent="0.25">
      <c r="C18" s="11">
        <v>43008</v>
      </c>
      <c r="D18" s="11">
        <v>42998</v>
      </c>
      <c r="E18" s="11">
        <v>43006</v>
      </c>
    </row>
    <row r="19" spans="3:5" x14ac:dyDescent="0.25">
      <c r="C19" s="10">
        <v>43039</v>
      </c>
      <c r="D19" s="11">
        <v>43026</v>
      </c>
      <c r="E19" s="11">
        <v>43038</v>
      </c>
    </row>
    <row r="20" spans="3:5" x14ac:dyDescent="0.25">
      <c r="C20" s="10">
        <v>43069</v>
      </c>
      <c r="D20" s="11">
        <v>43054</v>
      </c>
      <c r="E20" s="11">
        <v>43068</v>
      </c>
    </row>
    <row r="21" spans="3:5" x14ac:dyDescent="0.25">
      <c r="C21" s="10">
        <v>43098</v>
      </c>
      <c r="D21" s="11">
        <v>43089</v>
      </c>
      <c r="E21" s="11">
        <v>43097</v>
      </c>
    </row>
    <row r="22" spans="3:5" x14ac:dyDescent="0.25">
      <c r="D22" s="15">
        <f ca="1">COUNTIF(D10:D21,TODAY())</f>
        <v>0</v>
      </c>
      <c r="E22" s="15">
        <f ca="1">COUNTIF(E10:E21,TODAY())</f>
        <v>0</v>
      </c>
    </row>
  </sheetData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Almighty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Tao Cheng</dc:creator>
  <cp:lastModifiedBy>Tao Chun Cheng</cp:lastModifiedBy>
  <dcterms:created xsi:type="dcterms:W3CDTF">2016-03-04T04:38:34Z</dcterms:created>
  <dcterms:modified xsi:type="dcterms:W3CDTF">2017-06-06T08:52:29Z</dcterms:modified>
</cp:coreProperties>
</file>